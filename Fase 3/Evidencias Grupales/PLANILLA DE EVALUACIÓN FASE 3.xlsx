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_fecifu\DUOC UC\2025-02\Capstone\Grupo 13\"/>
    </mc:Choice>
  </mc:AlternateContent>
  <xr:revisionPtr revIDLastSave="0" documentId="13_ncr:1_{E1E6FF0D-D9E3-4895-A2D0-F45C0CB062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<sst xmlns="http://schemas.openxmlformats.org/spreadsheetml/2006/main" count="164" uniqueCount="66">
  <si>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</si>
  <si>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</si>
  <si>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</si>
  <si>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</si>
  <si>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</si>
  <si>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</si>
  <si>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</si>
  <si>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</si>
  <si>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</si>
  <si>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</si>
  <si>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</si>
  <si>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</si>
  <si>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</si>
  <si>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</si>
  <si>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</si>
  <si>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</si>
  <si>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</si>
  <si>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</si>
  <si>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</si>
  <si>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</si>
  <si>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</si>
  <si>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</si>
  <si>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</si>
  <si>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</si>
  <si>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</si>
  <si>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</si>
  <si>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</si>
  <si>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</si>
  <si>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</si>
  <si>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</si>
  <si>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</si>
  <si>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</si>
  <si>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</si>
  <si>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</si>
  <si>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</si>
  <si>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</si>
  <si>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</si>
  <si>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</si>
  <si>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</si>
  <si>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</si>
  <si>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</si>
  <si>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</si>
  <si>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</si>
  <si>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</si>
  <si>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</si>
  <si>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</si>
  <si>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</si>
  <si>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</si>
  <si>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</si>
  <si>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</si>
  <si>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</si>
  <si>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</si>
  <si>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</si>
  <si>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</si>
  <si>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</si>
  <si>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</si>
  <si>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</si>
  <si>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</si>
  <si>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</si>
  <si>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</si>
  <si>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</si>
  <si>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</si>
  <si>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</si>
  <si>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CAMPINO TORO JUAN PABLO</t>
  </si>
  <si>
    <t>CASTILLO AVALOS RICARDO ESTEBAN</t>
  </si>
  <si>
    <t>CURINAN CATRIMILLA JONATHAN ANDRES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</si>
</sst>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1" xfId="0" applyFont="1" applyBorder="1"/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B9" sqref="B9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8">
        <v>0.7</v>
      </c>
      <c r="D2" s="31">
        <v>0.3</v>
      </c>
      <c r="E2" s="32">
        <v>1</v>
      </c>
    </row>
    <row r="3" spans="1:11" ht="30" x14ac:dyDescent="0.25">
      <c r="B3" s="2" t="s">
        <v>0</v>
      </c>
      <c r="C3" s="29" t="s">
        <v>1</v>
      </c>
      <c r="D3" s="33" t="s">
        <v>2</v>
      </c>
      <c r="E3" s="34" t="s">
        <v>3</v>
      </c>
    </row>
    <row r="4" spans="1:11" x14ac:dyDescent="0.25">
      <c r="A4" s="3">
        <v>1</v>
      </c>
      <c r="B4" s="38" t="s">
        <v>63</v>
      </c>
      <c r="C4" s="30">
        <f>C21</f>
        <v>7</v>
      </c>
      <c r="D4" s="36">
        <f>C60</f>
        <v>7</v>
      </c>
      <c r="E4" s="35">
        <f>C4*C$2+D4*D$2</f>
        <v>7</v>
      </c>
    </row>
    <row r="5" spans="1:11" x14ac:dyDescent="0.25">
      <c r="A5" s="3">
        <v>2</v>
      </c>
      <c r="B5" s="38" t="s">
        <v>64</v>
      </c>
      <c r="C5" s="30">
        <f>C34</f>
        <v>7</v>
      </c>
      <c r="D5" s="36">
        <f>C73</f>
        <v>7</v>
      </c>
      <c r="E5" s="35">
        <f t="shared" ref="E5:E6" si="0">C5*C$2+D5*D$2</f>
        <v>7</v>
      </c>
    </row>
    <row r="6" spans="1:11" x14ac:dyDescent="0.25">
      <c r="A6" s="3">
        <v>3</v>
      </c>
      <c r="B6" s="38" t="s">
        <v>65</v>
      </c>
      <c r="C6" s="30">
        <f>C47</f>
        <v>7</v>
      </c>
      <c r="D6" s="36">
        <f>C86</f>
        <v>7</v>
      </c>
      <c r="E6" s="35">
        <f t="shared" si="0"/>
        <v>7</v>
      </c>
    </row>
    <row r="11" spans="1:11" ht="18.75" outlineLevel="1" x14ac:dyDescent="0.25">
      <c r="A11" s="39" t="s">
        <v>4</v>
      </c>
      <c r="B11" s="11" t="str">
        <f>B4</f>
        <v>CAMPINO TORO JUAN PABLO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25">
      <c r="A13" s="41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 x14ac:dyDescent="0.25">
      <c r="A14" s="41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25">
      <c r="A15" s="41"/>
      <c r="B15" s="18" t="str">
        <f>RUBRICA!A6</f>
        <v>3. Responde las preguntas realizadas por la comisión, cumpliendo con los estándares de calidad de la disciplina.</v>
      </c>
      <c r="C15" s="16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25">
      <c r="A16" s="41"/>
      <c r="B16" s="18" t="str">
        <f>RUBRICA!A7</f>
        <v>4. Expone el Proyecto APT, considerando el formato y el tiempo establecido para la presentación.</v>
      </c>
      <c r="C16" s="16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25">
      <c r="A17" s="41"/>
      <c r="B17" s="18" t="str">
        <f>RUBRICA!A8</f>
        <v>5. Expresa sus ideas con fluidez, claridad y precisión, utilizando lenguaje técnico propio de la disciplina.</v>
      </c>
      <c r="C17" s="16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36" outlineLevel="1" x14ac:dyDescent="0.25">
      <c r="A18" s="41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25">
      <c r="A19" s="41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">
      <c r="A20" s="40"/>
      <c r="B20" s="17" t="s">
        <v>12</v>
      </c>
      <c r="C20" s="21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2"/>
      <c r="B21" s="20" t="s">
        <v>13</v>
      </c>
      <c r="C21" s="14">
        <f>VLOOKUP(C20,ESCALA_IEP!A2:B202,2,FALSE)</f>
        <v>7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39" t="s">
        <v>4</v>
      </c>
      <c r="B24" s="11" t="str">
        <f>B5</f>
        <v>CASTILLO AVALOS RICARDO ESTEBAN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5">
      <c r="A26" s="41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5">
      <c r="A27" s="41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5">
      <c r="A28" s="41"/>
      <c r="B28" s="18" t="str">
        <f>RUBRICA!A6</f>
        <v>3. Responde las preguntas realizadas por la comisión, cumpliendo con los estándares de calidad de la disciplina.</v>
      </c>
      <c r="C28" s="16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5">
      <c r="A29" s="41"/>
      <c r="B29" s="18" t="str">
        <f>RUBRICA!A7</f>
        <v>4. Expone el Proyecto APT, considerando el formato y el tiempo establecido para la presentación.</v>
      </c>
      <c r="C29" s="16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5">
      <c r="A30" s="41"/>
      <c r="B30" s="18" t="str">
        <f>RUBRICA!A8</f>
        <v>5. Expresa sus ideas con fluidez, claridad y precisión, utilizando lenguaje técnico propio de la disciplina.</v>
      </c>
      <c r="C30" s="16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5">
      <c r="A31" s="41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5">
      <c r="A32" s="41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">
      <c r="A33" s="40"/>
      <c r="B33" s="17" t="s">
        <v>12</v>
      </c>
      <c r="C33" s="21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0" t="s">
        <v>13</v>
      </c>
      <c r="C34" s="14">
        <f>VLOOKUP(C33,ESCALA_IEP!A15:B215,2,FALSE)</f>
        <v>7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39" t="s">
        <v>4</v>
      </c>
      <c r="B37" s="11" t="str">
        <f>B6</f>
        <v>CURINAN CATRIMILLA JONATHAN ANDRES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5">
      <c r="A39" s="41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5">
      <c r="A40" s="41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5">
      <c r="A41" s="41"/>
      <c r="B41" s="18" t="str">
        <f>RUBRICA!A6</f>
        <v>3. Responde las preguntas realizadas por la comisión, cumpliendo con los estándares de calidad de la disciplina.</v>
      </c>
      <c r="C41" s="16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5">
      <c r="A42" s="41"/>
      <c r="B42" s="18" t="str">
        <f>RUBRICA!A7</f>
        <v>4. Expone el Proyecto APT, considerando el formato y el tiempo establecido para la presentación.</v>
      </c>
      <c r="C42" s="16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5">
      <c r="A43" s="41"/>
      <c r="B43" s="18" t="str">
        <f>RUBRICA!A8</f>
        <v>5. Expresa sus ideas con fluidez, claridad y precisión, utilizando lenguaje técnico propio de la disciplina.</v>
      </c>
      <c r="C43" s="16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5">
      <c r="A44" s="41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5">
      <c r="A45" s="41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">
      <c r="A46" s="40"/>
      <c r="B46" s="17" t="s">
        <v>12</v>
      </c>
      <c r="C46" s="21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2"/>
      <c r="B47" s="20" t="s">
        <v>13</v>
      </c>
      <c r="C47" s="14">
        <f>VLOOKUP(C46,ESCALA_IEP!A28:B228,2,FALSE)</f>
        <v>7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48" t="s">
        <v>14</v>
      </c>
      <c r="B50" s="11" t="str">
        <f>B4</f>
        <v>CAMPINO TORO JUAN PABLO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5">
      <c r="A52" s="41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5">
      <c r="A53" s="41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5">
      <c r="A54" s="41"/>
      <c r="B54" s="18" t="str">
        <f>RUBRICA!A6</f>
        <v>3. Responde las preguntas realizadas por la comisión, cumpliendo con los estándares de calidad de la disciplina.</v>
      </c>
      <c r="C54" s="16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5">
      <c r="A55" s="41"/>
      <c r="B55" s="18" t="str">
        <f>RUBRICA!A7</f>
        <v>4. Expone el Proyecto APT, considerando el formato y el tiempo establecido para la presentación.</v>
      </c>
      <c r="C55" s="16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5">
      <c r="A56" s="41"/>
      <c r="B56" s="18" t="str">
        <f>RUBRICA!A8</f>
        <v>5. Expresa sus ideas con fluidez, claridad y precisión, utilizando lenguaje técnico propio de la disciplina.</v>
      </c>
      <c r="C56" s="16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5">
      <c r="A57" s="41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5">
      <c r="A58" s="41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">
      <c r="A59" s="40"/>
      <c r="B59" s="17" t="s">
        <v>12</v>
      </c>
      <c r="C59" s="21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2"/>
      <c r="B60" s="20" t="s">
        <v>13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48" t="s">
        <v>15</v>
      </c>
      <c r="B63" s="11" t="str">
        <f>B5</f>
        <v>CASTILLO AVALOS RICARDO ESTEBAN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5">
      <c r="A65" s="41"/>
      <c r="B65" s="18" t="str">
        <f>RUBRICA!A4</f>
        <v xml:space="preserve">1. Presenta el proyecto considerando la relevancia, objetivos, metodología y desarrollo, de acuerdo a los estándares de calidad de la disciplina. </v>
      </c>
      <c r="C65" s="16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5">
      <c r="A66" s="41"/>
      <c r="B66" s="18" t="str">
        <f>RUBRICA!A5</f>
        <v xml:space="preserve">2. Presenta las evidencias del Proyecto APT, dando cuenta del cumplimiento de los objetivos y de acuerdo a los estándares de la disciplina. </v>
      </c>
      <c r="C66" s="16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5">
      <c r="A67" s="41"/>
      <c r="B67" s="18" t="str">
        <f>RUBRICA!A6</f>
        <v>3. Responde las preguntas realizadas por la comisión, cumpliendo con los estándares de calidad de la disciplina.</v>
      </c>
      <c r="C67" s="16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5">
      <c r="A68" s="41"/>
      <c r="B68" s="18" t="str">
        <f>RUBRICA!A7</f>
        <v>4. Expone el Proyecto APT, considerando el formato y el tiempo establecido para la presentación.</v>
      </c>
      <c r="C68" s="16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5">
      <c r="A69" s="41"/>
      <c r="B69" s="18" t="str">
        <f>RUBRICA!A8</f>
        <v>5. Expresa sus ideas con fluidez, claridad y precisión, utilizando lenguaje técnico propio de la disciplina.</v>
      </c>
      <c r="C69" s="16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5">
      <c r="A70" s="41"/>
      <c r="B70" s="18" t="str">
        <f>RUBRICA!A9</f>
        <v>6. Entrega la documentación y evidencias requerida por la asignatura de acuerdo a la estructura y nombres solicitados, guardando todas las evidencias de avances en Git</v>
      </c>
      <c r="C70" s="16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5">
      <c r="A71" s="41"/>
      <c r="B71" s="18" t="str">
        <f>RUBRICA!A10</f>
        <v xml:space="preserve">7. Expone el tema utilizando un lenguaje técnico disciplinar al presentar la propuesta y responde evidenciando un manejo de la información. </v>
      </c>
      <c r="C71" s="16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">
      <c r="A72" s="40"/>
      <c r="B72" s="17" t="s">
        <v>12</v>
      </c>
      <c r="C72" s="21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2"/>
      <c r="B73" s="20" t="s">
        <v>13</v>
      </c>
      <c r="C73" s="14">
        <f>VLOOKUP(C72,ESCALA_IEP!A54:B254,2,FALSE)</f>
        <v>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48" t="s">
        <v>16</v>
      </c>
      <c r="B76" s="11" t="str">
        <f>B6</f>
        <v>CURINAN CATRIMILLA JONATHAN ANDRES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5">
      <c r="A78" s="41"/>
      <c r="B78" s="18" t="str">
        <f>RUBRICA!A4</f>
        <v xml:space="preserve">1. Presenta el proyecto considerando la relevancia, objetivos, metodología y desarrollo, de acuerdo a los estándares de calidad de la disciplina. </v>
      </c>
      <c r="C78" s="16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5">
      <c r="A79" s="41"/>
      <c r="B79" s="18" t="str">
        <f>RUBRICA!A5</f>
        <v xml:space="preserve">2. Presenta las evidencias del Proyecto APT, dando cuenta del cumplimiento de los objetivos y de acuerdo a los estándares de la disciplina. </v>
      </c>
      <c r="C79" s="16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5">
      <c r="A80" s="41"/>
      <c r="B80" s="18" t="str">
        <f>RUBRICA!A6</f>
        <v>3. Responde las preguntas realizadas por la comisión, cumpliendo con los estándares de calidad de la disciplina.</v>
      </c>
      <c r="C80" s="16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5">
      <c r="A81" s="41"/>
      <c r="B81" s="18" t="str">
        <f>RUBRICA!A7</f>
        <v>4. Expone el Proyecto APT, considerando el formato y el tiempo establecido para la presentación.</v>
      </c>
      <c r="C81" s="16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5">
      <c r="A82" s="41"/>
      <c r="B82" s="18" t="str">
        <f>RUBRICA!A8</f>
        <v>5. Expresa sus ideas con fluidez, claridad y precisión, utilizando lenguaje técnico propio de la disciplina.</v>
      </c>
      <c r="C82" s="16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5">
      <c r="A83" s="41"/>
      <c r="B83" s="18" t="str">
        <f>RUBRICA!A9</f>
        <v>6. Entrega la documentación y evidencias requerida por la asignatura de acuerdo a la estructura y nombres solicitados, guardando todas las evidencias de avances en Git</v>
      </c>
      <c r="C83" s="16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5">
      <c r="A84" s="41"/>
      <c r="B84" s="18" t="str">
        <f>RUBRICA!A10</f>
        <v xml:space="preserve">7. Expone el tema utilizando un lenguaje técnico disciplinar al presentar la propuesta y responde evidenciando un manejo de la información. </v>
      </c>
      <c r="C84" s="16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">
      <c r="A85" s="40"/>
      <c r="B85" s="17" t="s">
        <v>12</v>
      </c>
      <c r="C85" s="21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2"/>
      <c r="B86" s="20" t="s">
        <v>13</v>
      </c>
      <c r="C86" s="14">
        <f>VLOOKUP(C85,ESCALA_IEP!A67:B267,2,FALSE)</f>
        <v>7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25">
      <c r="A2" s="50"/>
      <c r="B2" s="54" t="s">
        <v>20</v>
      </c>
      <c r="C2" s="54" t="s">
        <v>21</v>
      </c>
      <c r="D2" s="24" t="s">
        <v>22</v>
      </c>
      <c r="E2" s="25" t="s">
        <v>11</v>
      </c>
      <c r="F2" s="50"/>
    </row>
    <row r="3" spans="1:6" x14ac:dyDescent="0.25">
      <c r="A3" s="50"/>
      <c r="B3" s="55"/>
      <c r="C3" s="55"/>
      <c r="D3" s="26">
        <v>0.3</v>
      </c>
      <c r="E3" s="26">
        <v>0</v>
      </c>
      <c r="F3" s="50"/>
    </row>
    <row r="4" spans="1:6" ht="102" x14ac:dyDescent="0.25">
      <c r="A4" s="22" t="s">
        <v>23</v>
      </c>
      <c r="B4" s="22" t="s">
        <v>24</v>
      </c>
      <c r="C4" s="22" t="s">
        <v>25</v>
      </c>
      <c r="D4" s="22" t="s">
        <v>26</v>
      </c>
      <c r="E4" s="22" t="s">
        <v>27</v>
      </c>
      <c r="F4" s="27">
        <v>15</v>
      </c>
    </row>
    <row r="5" spans="1:6" ht="136.9" customHeight="1" x14ac:dyDescent="0.25">
      <c r="A5" s="22" t="s">
        <v>28</v>
      </c>
      <c r="B5" s="22" t="s">
        <v>29</v>
      </c>
      <c r="C5" s="22" t="s">
        <v>30</v>
      </c>
      <c r="D5" s="22" t="s">
        <v>31</v>
      </c>
      <c r="E5" s="22" t="s">
        <v>32</v>
      </c>
      <c r="F5" s="27">
        <v>25</v>
      </c>
    </row>
    <row r="6" spans="1:6" ht="87" customHeight="1" x14ac:dyDescent="0.25">
      <c r="A6" s="22" t="s">
        <v>33</v>
      </c>
      <c r="B6" s="22" t="s">
        <v>34</v>
      </c>
      <c r="C6" s="22" t="s">
        <v>35</v>
      </c>
      <c r="D6" s="22" t="s">
        <v>36</v>
      </c>
      <c r="E6" s="22" t="s">
        <v>37</v>
      </c>
      <c r="F6" s="27">
        <v>20</v>
      </c>
    </row>
    <row r="7" spans="1:6" ht="89.25" x14ac:dyDescent="0.25">
      <c r="A7" s="22" t="s">
        <v>38</v>
      </c>
      <c r="B7" s="22" t="s">
        <v>39</v>
      </c>
      <c r="C7" s="22" t="s">
        <v>40</v>
      </c>
      <c r="D7" s="22" t="s">
        <v>41</v>
      </c>
      <c r="E7" s="22" t="s">
        <v>42</v>
      </c>
      <c r="F7" s="27">
        <v>5</v>
      </c>
    </row>
    <row r="8" spans="1:6" ht="89.25" x14ac:dyDescent="0.25">
      <c r="A8" s="22" t="s">
        <v>43</v>
      </c>
      <c r="B8" s="22" t="s">
        <v>44</v>
      </c>
      <c r="C8" s="22" t="s">
        <v>45</v>
      </c>
      <c r="D8" s="22" t="s">
        <v>46</v>
      </c>
      <c r="E8" s="22" t="s">
        <v>47</v>
      </c>
      <c r="F8" s="27">
        <v>5</v>
      </c>
    </row>
    <row r="9" spans="1:6" ht="89.25" x14ac:dyDescent="0.25">
      <c r="A9" s="22" t="s">
        <v>48</v>
      </c>
      <c r="B9" s="22" t="s">
        <v>49</v>
      </c>
      <c r="C9" s="22" t="s">
        <v>50</v>
      </c>
      <c r="D9" s="22" t="s">
        <v>51</v>
      </c>
      <c r="E9" s="22" t="s">
        <v>52</v>
      </c>
      <c r="F9" s="23">
        <v>20</v>
      </c>
    </row>
    <row r="10" spans="1:6" ht="126" customHeight="1" x14ac:dyDescent="0.25">
      <c r="A10" s="22" t="s">
        <v>53</v>
      </c>
      <c r="B10" s="22" t="s">
        <v>54</v>
      </c>
      <c r="C10" s="22" t="s">
        <v>55</v>
      </c>
      <c r="D10" s="22" t="s">
        <v>56</v>
      </c>
      <c r="E10" s="22" t="s">
        <v>57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60</v>
      </c>
      <c r="B1" s="4" t="s">
        <v>12</v>
      </c>
      <c r="C1" s="5"/>
      <c r="D1" s="5"/>
      <c r="E1" s="6"/>
    </row>
    <row r="2" spans="1:5" ht="45.75" thickBot="1" x14ac:dyDescent="0.3">
      <c r="A2" s="57"/>
      <c r="B2" s="7" t="s">
        <v>8</v>
      </c>
      <c r="C2" s="8" t="s">
        <v>9</v>
      </c>
      <c r="D2" s="19" t="s">
        <v>61</v>
      </c>
      <c r="E2" s="37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Felix Cifuentes Cid</cp:lastModifiedBy>
  <cp:revision/>
  <dcterms:created xsi:type="dcterms:W3CDTF">2023-08-07T04:08:01Z</dcterms:created>
  <dcterms:modified xsi:type="dcterms:W3CDTF">2025-12-10T04:52:19Z</dcterms:modified>
  <cp:category/>
  <cp:contentStatus/>
</cp:coreProperties>
</file>